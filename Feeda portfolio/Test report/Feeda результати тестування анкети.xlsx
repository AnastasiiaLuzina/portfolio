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Звіт" sheetId="7" r:id="rId1"/>
    <sheet name="Таблиця" sheetId="1" r:id="rId2"/>
    <sheet name="Перевірки" sheetId="6" r:id="rId3"/>
    <sheet name="Кількість багів за складовою" sheetId="3" r:id="rId4"/>
    <sheet name="Кількість багів по пріоритетам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E21" i="1"/>
  <c r="F21" i="1"/>
  <c r="H21" i="1"/>
  <c r="D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3" i="1"/>
  <c r="G21" i="1" l="1"/>
</calcChain>
</file>

<file path=xl/sharedStrings.xml><?xml version="1.0" encoding="utf-8"?>
<sst xmlns="http://schemas.openxmlformats.org/spreadsheetml/2006/main" count="52" uniqueCount="38">
  <si>
    <t>Функціонал</t>
  </si>
  <si>
    <t>Реєстрація учасника в Baza Trainee Ukraine</t>
  </si>
  <si>
    <t>Складова</t>
  </si>
  <si>
    <t>Головна сторінка реєстрації</t>
  </si>
  <si>
    <t>Модальне вікно "Умови та правила участі в проєкті"</t>
  </si>
  <si>
    <t>Модальне вікно "Згода на обробку персональних даних"</t>
  </si>
  <si>
    <t>Фінальне повідомлення</t>
  </si>
  <si>
    <t>Відповідальний</t>
  </si>
  <si>
    <t>Анастасія Лузіна</t>
  </si>
  <si>
    <t>Анкета учасника поле для вводу "Ім'я"</t>
  </si>
  <si>
    <t>Анкета учасника поле для вводу "Прізвище"</t>
  </si>
  <si>
    <t>Анкета учасника поле для вводу "Спеціалізація (Стек)"</t>
  </si>
  <si>
    <t>Анкета учасника поле для вводу "Електронна пошта"</t>
  </si>
  <si>
    <t>Анкета учасника поле для вводу "акаунт Discord"</t>
  </si>
  <si>
    <t>Анкета учасника поле для вводу "акаунт LinkedIn"</t>
  </si>
  <si>
    <t>Анкета учасника поле для вводу "Місто (Країна)"</t>
  </si>
  <si>
    <t>Анкета учасника дропдаун "Наявність досвіду"</t>
  </si>
  <si>
    <t>Анкета учасника дропдаун "Тип участі"</t>
  </si>
  <si>
    <t>Анкета учасника дропдаун "Проєкт на вибір"</t>
  </si>
  <si>
    <t>Анкета учасника чек-бокс "Ознайомлений/на з умовами участі в проєкті"</t>
  </si>
  <si>
    <t>Анкета учасника чек-бокс "Погоджуюсь з обробкою персональних даних"</t>
  </si>
  <si>
    <t>Анкета учасника кнопка "Відправити анкету"</t>
  </si>
  <si>
    <t>Олена Шляхта</t>
  </si>
  <si>
    <t>Ольга Семененко</t>
  </si>
  <si>
    <t>Олена Пилипенко</t>
  </si>
  <si>
    <t>Кількість витраченого часу (години)</t>
  </si>
  <si>
    <t>Анкета учасника поле для вводу "Телефон"</t>
  </si>
  <si>
    <t>Загальна кількість перевірок</t>
  </si>
  <si>
    <t>Успішно</t>
  </si>
  <si>
    <t>Неуспішно</t>
  </si>
  <si>
    <t>Кількість баг-репортів</t>
  </si>
  <si>
    <t>Відсоток успішних тестів</t>
  </si>
  <si>
    <t>ВСЬОГО</t>
  </si>
  <si>
    <t>Пріоритет баг-репортів</t>
  </si>
  <si>
    <t>LOW</t>
  </si>
  <si>
    <t>MEDIUM</t>
  </si>
  <si>
    <t>HIGH</t>
  </si>
  <si>
    <t>Тест-репорт
Проект: FEEDA Область тестування: Реєстрація учасника
Тестер: Анастасія Лузіна
Дата: 02.08.2023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</si>
</sst>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3200"/>
              <a:t>Перевірки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Таблиця!$E$1:$G$1</c:f>
              <c:strCache>
                <c:ptCount val="3"/>
                <c:pt idx="0">
                  <c:v>Загальна кількість перевірок</c:v>
                </c:pt>
                <c:pt idx="1">
                  <c:v>Успішно</c:v>
                </c:pt>
                <c:pt idx="2">
                  <c:v>Неуспішно</c:v>
                </c:pt>
              </c:strCache>
            </c:strRef>
          </c:cat>
          <c:val>
            <c:numRef>
              <c:f>Таблиця!$E$21:$G$21</c:f>
              <c:numCache>
                <c:formatCode>General</c:formatCode>
                <c:ptCount val="3"/>
                <c:pt idx="0">
                  <c:v>333</c:v>
                </c:pt>
                <c:pt idx="1">
                  <c:v>272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EFD-A490-7B621B7B7C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30136127"/>
        <c:axId val="21301377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uk-U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Таблиця!$E$1:$G$1</c15:sqref>
                        </c15:formulaRef>
                      </c:ext>
                    </c:extLst>
                    <c:strCache>
                      <c:ptCount val="3"/>
                      <c:pt idx="0">
                        <c:v>Загальна кількість перевірок</c:v>
                      </c:pt>
                      <c:pt idx="1">
                        <c:v>Успішно</c:v>
                      </c:pt>
                      <c:pt idx="2">
                        <c:v>Неуспішно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Таблиця!$E$2:$G$2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D0E-4EFD-A490-7B621B7B7CCF}"/>
                  </c:ext>
                </c:extLst>
              </c15:ser>
            </c15:filteredBarSeries>
          </c:ext>
        </c:extLst>
      </c:barChart>
      <c:catAx>
        <c:axId val="213013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normalizeH="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0137791"/>
        <c:crosses val="autoZero"/>
        <c:auto val="1"/>
        <c:lblAlgn val="ctr"/>
        <c:lblOffset val="100"/>
        <c:noMultiLvlLbl val="0"/>
      </c:catAx>
      <c:valAx>
        <c:axId val="2130137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013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uk-UA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3200"/>
              <a:t>Кількість багів у кожній складовій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Таблиця!$H$1</c:f>
              <c:strCache>
                <c:ptCount val="1"/>
                <c:pt idx="0">
                  <c:v>Кількість баг-репортів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Таблиця!$B$2:$B$20</c:f>
              <c:strCache>
                <c:ptCount val="19"/>
                <c:pt idx="1">
                  <c:v>Головна сторінка реєстрації</c:v>
                </c:pt>
                <c:pt idx="2">
                  <c:v>Модальне вікно "Умови та правила участі в проєкті"</c:v>
                </c:pt>
                <c:pt idx="3">
                  <c:v>Модальне вікно "Згода на обробку персональних даних"</c:v>
                </c:pt>
                <c:pt idx="4">
                  <c:v>Анкета учасника поле для вводу "Ім'я"</c:v>
                </c:pt>
                <c:pt idx="5">
                  <c:v>Анкета учасника поле для вводу "Прізвище"</c:v>
                </c:pt>
                <c:pt idx="6">
                  <c:v>Анкета учасника поле для вводу "Спеціалізація (Стек)"</c:v>
                </c:pt>
                <c:pt idx="7">
                  <c:v>Анкета учасника поле для вводу "Телефон"</c:v>
                </c:pt>
                <c:pt idx="8">
                  <c:v>Анкета учасника поле для вводу "Електронна пошта"</c:v>
                </c:pt>
                <c:pt idx="9">
                  <c:v>Анкета учасника поле для вводу "акаунт Discord"</c:v>
                </c:pt>
                <c:pt idx="10">
                  <c:v>Анкета учасника поле для вводу "акаунт LinkedIn"</c:v>
                </c:pt>
                <c:pt idx="11">
                  <c:v>Анкета учасника поле для вводу "Місто (Країна)"</c:v>
                </c:pt>
                <c:pt idx="12">
                  <c:v>Анкета учасника дропдаун "Наявність досвіду"</c:v>
                </c:pt>
                <c:pt idx="13">
                  <c:v>Анкета учасника дропдаун "Тип участі"</c:v>
                </c:pt>
                <c:pt idx="14">
                  <c:v>Анкета учасника дропдаун "Проєкт на вибір"</c:v>
                </c:pt>
                <c:pt idx="15">
                  <c:v>Анкета учасника чек-бокс "Ознайомлений/на з умовами участі в проєкті"</c:v>
                </c:pt>
                <c:pt idx="16">
                  <c:v>Анкета учасника чек-бокс "Погоджуюсь з обробкою персональних даних"</c:v>
                </c:pt>
                <c:pt idx="17">
                  <c:v>Анкета учасника кнопка "Відправити анкету"</c:v>
                </c:pt>
                <c:pt idx="18">
                  <c:v>Фінальне повідомлення</c:v>
                </c:pt>
              </c:strCache>
            </c:strRef>
          </c:cat>
          <c:val>
            <c:numRef>
              <c:f>Таблиця!$H$2:$H$20</c:f>
              <c:numCache>
                <c:formatCode>General</c:formatCode>
                <c:ptCount val="19"/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3-4A66-8759-99AD086E23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30199199"/>
        <c:axId val="2130196703"/>
      </c:barChart>
      <c:catAx>
        <c:axId val="213019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0196703"/>
        <c:crosses val="autoZero"/>
        <c:auto val="1"/>
        <c:lblAlgn val="ctr"/>
        <c:lblOffset val="100"/>
        <c:noMultiLvlLbl val="0"/>
      </c:catAx>
      <c:valAx>
        <c:axId val="2130196703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13019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uk-UA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3200"/>
              <a:t>Кількість</a:t>
            </a:r>
            <a:r>
              <a:rPr lang="uk-UA" sz="3200" baseline="0"/>
              <a:t> багів по пріоритетам</a:t>
            </a:r>
            <a:endParaRPr lang="uk-UA" sz="3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DB-4D29-855F-4938A8F3DB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DB-4D29-855F-4938A8F3DB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DB-4D29-855F-4938A8F3DB7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Таблиця!$I$1:$K$2</c:f>
              <c:multiLvlStrCache>
                <c:ptCount val="3"/>
                <c:lvl>
                  <c:pt idx="0">
                    <c:v>LOW</c:v>
                  </c:pt>
                  <c:pt idx="1">
                    <c:v>MEDIUM</c:v>
                  </c:pt>
                  <c:pt idx="2">
                    <c:v>HIGH</c:v>
                  </c:pt>
                </c:lvl>
                <c:lvl>
                  <c:pt idx="0">
                    <c:v>Пріоритет баг-репортів</c:v>
                  </c:pt>
                </c:lvl>
              </c:multiLvlStrCache>
            </c:multiLvlStrRef>
          </c:cat>
          <c:val>
            <c:numRef>
              <c:f>Таблиця!$I$21:$K$21</c:f>
              <c:numCache>
                <c:formatCode>General</c:formatCode>
                <c:ptCount val="3"/>
                <c:pt idx="0">
                  <c:v>21</c:v>
                </c:pt>
                <c:pt idx="1">
                  <c:v>21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DB-4D29-855F-4938A8F3DB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uk-U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66.7109375" customWidth="1"/>
  </cols>
  <sheetData>
    <row r="1" spans="1:1" ht="105" x14ac:dyDescent="0.25">
      <c r="A1" s="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sqref="A1:L21"/>
    </sheetView>
  </sheetViews>
  <sheetFormatPr defaultRowHeight="15" x14ac:dyDescent="0.25"/>
  <cols>
    <col min="1" max="1" width="28.140625" style="1" customWidth="1"/>
    <col min="2" max="2" width="36.42578125" style="1" customWidth="1"/>
    <col min="3" max="3" width="19.85546875" style="1" customWidth="1"/>
    <col min="4" max="4" width="16.85546875" style="1" customWidth="1"/>
    <col min="5" max="5" width="14.140625" style="1" customWidth="1"/>
    <col min="6" max="6" width="9.140625" style="1"/>
    <col min="7" max="7" width="11.85546875" style="1" customWidth="1"/>
    <col min="8" max="8" width="14.28515625" style="1" customWidth="1"/>
    <col min="9" max="11" width="9.140625" style="1" customWidth="1"/>
    <col min="12" max="12" width="11.5703125" style="6" bestFit="1" customWidth="1"/>
    <col min="13" max="16384" width="9.140625" style="1"/>
  </cols>
  <sheetData>
    <row r="1" spans="1:12" ht="47.25" customHeight="1" x14ac:dyDescent="0.25">
      <c r="A1" s="9" t="s">
        <v>0</v>
      </c>
      <c r="B1" s="9" t="s">
        <v>2</v>
      </c>
      <c r="C1" s="9" t="s">
        <v>7</v>
      </c>
      <c r="D1" s="9" t="s">
        <v>25</v>
      </c>
      <c r="E1" s="9" t="s">
        <v>27</v>
      </c>
      <c r="F1" s="9" t="s">
        <v>28</v>
      </c>
      <c r="G1" s="9" t="s">
        <v>29</v>
      </c>
      <c r="H1" s="9" t="s">
        <v>30</v>
      </c>
      <c r="I1" s="10" t="s">
        <v>33</v>
      </c>
      <c r="J1" s="11"/>
      <c r="K1" s="12"/>
      <c r="L1" s="13" t="s">
        <v>31</v>
      </c>
    </row>
    <row r="2" spans="1:12" ht="15.75" x14ac:dyDescent="0.25">
      <c r="A2" s="14"/>
      <c r="B2" s="14"/>
      <c r="C2" s="14"/>
      <c r="D2" s="14"/>
      <c r="E2" s="14"/>
      <c r="F2" s="14"/>
      <c r="G2" s="14"/>
      <c r="H2" s="14"/>
      <c r="I2" s="15" t="s">
        <v>34</v>
      </c>
      <c r="J2" s="15" t="s">
        <v>35</v>
      </c>
      <c r="K2" s="16" t="s">
        <v>36</v>
      </c>
      <c r="L2" s="17"/>
    </row>
    <row r="3" spans="1:12" ht="15" customHeight="1" x14ac:dyDescent="0.25">
      <c r="A3" s="3" t="s">
        <v>1</v>
      </c>
      <c r="B3" s="2" t="s">
        <v>3</v>
      </c>
      <c r="C3" s="2" t="s">
        <v>8</v>
      </c>
      <c r="D3" s="2">
        <v>0.4</v>
      </c>
      <c r="E3" s="2">
        <v>7</v>
      </c>
      <c r="F3" s="2">
        <v>6</v>
      </c>
      <c r="G3" s="2">
        <f>E3-F3</f>
        <v>1</v>
      </c>
      <c r="H3" s="2">
        <v>1</v>
      </c>
      <c r="I3" s="2">
        <v>1</v>
      </c>
      <c r="J3" s="2"/>
      <c r="K3" s="2"/>
      <c r="L3" s="7">
        <f>F3/E3</f>
        <v>0.8571428571428571</v>
      </c>
    </row>
    <row r="4" spans="1:12" ht="30" x14ac:dyDescent="0.25">
      <c r="A4" s="4"/>
      <c r="B4" s="2" t="s">
        <v>4</v>
      </c>
      <c r="C4" s="2" t="s">
        <v>22</v>
      </c>
      <c r="D4" s="2">
        <v>3</v>
      </c>
      <c r="E4" s="2">
        <v>13</v>
      </c>
      <c r="F4" s="2">
        <v>9</v>
      </c>
      <c r="G4" s="2">
        <f t="shared" ref="G4:G20" si="0">E4-F4</f>
        <v>4</v>
      </c>
      <c r="H4" s="2">
        <v>5</v>
      </c>
      <c r="I4" s="2">
        <v>4</v>
      </c>
      <c r="J4" s="2">
        <v>1</v>
      </c>
      <c r="K4" s="2"/>
      <c r="L4" s="7">
        <f t="shared" ref="L4:L20" si="1">F4/E4</f>
        <v>0.69230769230769229</v>
      </c>
    </row>
    <row r="5" spans="1:12" ht="30" x14ac:dyDescent="0.25">
      <c r="A5" s="4"/>
      <c r="B5" s="2" t="s">
        <v>5</v>
      </c>
      <c r="C5" s="2" t="s">
        <v>22</v>
      </c>
      <c r="D5" s="2">
        <v>2</v>
      </c>
      <c r="E5" s="2">
        <v>9</v>
      </c>
      <c r="F5" s="2">
        <v>7</v>
      </c>
      <c r="G5" s="2">
        <f t="shared" si="0"/>
        <v>2</v>
      </c>
      <c r="H5" s="2">
        <v>2</v>
      </c>
      <c r="I5" s="2">
        <v>2</v>
      </c>
      <c r="J5" s="2"/>
      <c r="K5" s="2"/>
      <c r="L5" s="7">
        <f t="shared" si="1"/>
        <v>0.77777777777777779</v>
      </c>
    </row>
    <row r="6" spans="1:12" ht="30" x14ac:dyDescent="0.25">
      <c r="A6" s="4"/>
      <c r="B6" s="2" t="s">
        <v>9</v>
      </c>
      <c r="C6" s="2" t="s">
        <v>8</v>
      </c>
      <c r="D6" s="2">
        <v>3</v>
      </c>
      <c r="E6" s="2">
        <v>26</v>
      </c>
      <c r="F6" s="2">
        <v>21</v>
      </c>
      <c r="G6" s="2">
        <f t="shared" si="0"/>
        <v>5</v>
      </c>
      <c r="H6" s="2">
        <v>5</v>
      </c>
      <c r="I6" s="2">
        <v>2</v>
      </c>
      <c r="J6" s="2">
        <v>3</v>
      </c>
      <c r="K6" s="2"/>
      <c r="L6" s="7">
        <f t="shared" si="1"/>
        <v>0.80769230769230771</v>
      </c>
    </row>
    <row r="7" spans="1:12" ht="30" x14ac:dyDescent="0.25">
      <c r="A7" s="4"/>
      <c r="B7" s="2" t="s">
        <v>10</v>
      </c>
      <c r="C7" s="2" t="s">
        <v>8</v>
      </c>
      <c r="D7" s="2">
        <v>1.5</v>
      </c>
      <c r="E7" s="2">
        <v>29</v>
      </c>
      <c r="F7" s="2">
        <v>20</v>
      </c>
      <c r="G7" s="2">
        <f t="shared" si="0"/>
        <v>9</v>
      </c>
      <c r="H7" s="2">
        <v>4</v>
      </c>
      <c r="I7" s="2">
        <v>1</v>
      </c>
      <c r="J7" s="2">
        <v>3</v>
      </c>
      <c r="K7" s="2"/>
      <c r="L7" s="7">
        <f t="shared" si="1"/>
        <v>0.68965517241379315</v>
      </c>
    </row>
    <row r="8" spans="1:12" ht="30" x14ac:dyDescent="0.25">
      <c r="A8" s="4"/>
      <c r="B8" s="2" t="s">
        <v>11</v>
      </c>
      <c r="C8" s="2" t="s">
        <v>8</v>
      </c>
      <c r="D8" s="2">
        <v>1</v>
      </c>
      <c r="E8" s="2">
        <v>24</v>
      </c>
      <c r="F8" s="2">
        <v>22</v>
      </c>
      <c r="G8" s="2">
        <f t="shared" si="0"/>
        <v>2</v>
      </c>
      <c r="H8" s="2">
        <v>1</v>
      </c>
      <c r="I8" s="2"/>
      <c r="J8" s="2">
        <v>1</v>
      </c>
      <c r="K8" s="2"/>
      <c r="L8" s="7">
        <f t="shared" si="1"/>
        <v>0.91666666666666663</v>
      </c>
    </row>
    <row r="9" spans="1:12" ht="30" x14ac:dyDescent="0.25">
      <c r="A9" s="4"/>
      <c r="B9" s="2" t="s">
        <v>26</v>
      </c>
      <c r="C9" s="2" t="s">
        <v>8</v>
      </c>
      <c r="D9" s="2">
        <v>0.8</v>
      </c>
      <c r="E9" s="2">
        <v>14</v>
      </c>
      <c r="F9" s="2">
        <v>10</v>
      </c>
      <c r="G9" s="2">
        <f t="shared" si="0"/>
        <v>4</v>
      </c>
      <c r="H9" s="2">
        <v>3</v>
      </c>
      <c r="I9" s="2"/>
      <c r="J9" s="2">
        <v>3</v>
      </c>
      <c r="K9" s="2"/>
      <c r="L9" s="7">
        <f t="shared" si="1"/>
        <v>0.7142857142857143</v>
      </c>
    </row>
    <row r="10" spans="1:12" ht="30" x14ac:dyDescent="0.25">
      <c r="A10" s="4"/>
      <c r="B10" s="2" t="s">
        <v>12</v>
      </c>
      <c r="C10" s="2" t="s">
        <v>8</v>
      </c>
      <c r="D10" s="2">
        <v>1</v>
      </c>
      <c r="E10" s="2">
        <v>32</v>
      </c>
      <c r="F10" s="2">
        <v>29</v>
      </c>
      <c r="G10" s="2">
        <f t="shared" si="0"/>
        <v>3</v>
      </c>
      <c r="H10" s="2">
        <v>2</v>
      </c>
      <c r="I10" s="2"/>
      <c r="J10" s="2">
        <v>2</v>
      </c>
      <c r="K10" s="2"/>
      <c r="L10" s="7">
        <f t="shared" si="1"/>
        <v>0.90625</v>
      </c>
    </row>
    <row r="11" spans="1:12" ht="30" x14ac:dyDescent="0.25">
      <c r="A11" s="4"/>
      <c r="B11" s="2" t="s">
        <v>13</v>
      </c>
      <c r="C11" s="2" t="s">
        <v>8</v>
      </c>
      <c r="D11" s="2">
        <v>2.5</v>
      </c>
      <c r="E11" s="2">
        <v>31</v>
      </c>
      <c r="F11" s="2">
        <v>24</v>
      </c>
      <c r="G11" s="2">
        <f t="shared" si="0"/>
        <v>7</v>
      </c>
      <c r="H11" s="2">
        <v>6</v>
      </c>
      <c r="I11" s="2"/>
      <c r="J11" s="2">
        <v>4</v>
      </c>
      <c r="K11" s="2">
        <v>2</v>
      </c>
      <c r="L11" s="7">
        <f t="shared" si="1"/>
        <v>0.77419354838709675</v>
      </c>
    </row>
    <row r="12" spans="1:12" ht="30" x14ac:dyDescent="0.25">
      <c r="A12" s="4"/>
      <c r="B12" s="2" t="s">
        <v>14</v>
      </c>
      <c r="C12" s="2" t="s">
        <v>23</v>
      </c>
      <c r="D12" s="2">
        <v>2.5</v>
      </c>
      <c r="E12" s="2">
        <v>22</v>
      </c>
      <c r="F12" s="2">
        <v>13</v>
      </c>
      <c r="G12" s="2">
        <f t="shared" si="0"/>
        <v>9</v>
      </c>
      <c r="H12" s="2">
        <v>4</v>
      </c>
      <c r="I12" s="2"/>
      <c r="J12" s="2">
        <v>4</v>
      </c>
      <c r="K12" s="2"/>
      <c r="L12" s="7">
        <f t="shared" si="1"/>
        <v>0.59090909090909094</v>
      </c>
    </row>
    <row r="13" spans="1:12" ht="30" x14ac:dyDescent="0.25">
      <c r="A13" s="4"/>
      <c r="B13" s="2" t="s">
        <v>15</v>
      </c>
      <c r="C13" s="2" t="s">
        <v>23</v>
      </c>
      <c r="D13" s="2">
        <v>2</v>
      </c>
      <c r="E13" s="2">
        <v>23</v>
      </c>
      <c r="F13" s="2">
        <v>22</v>
      </c>
      <c r="G13" s="2">
        <f t="shared" si="0"/>
        <v>1</v>
      </c>
      <c r="H13" s="2">
        <v>1</v>
      </c>
      <c r="I13" s="2">
        <v>1</v>
      </c>
      <c r="J13" s="2"/>
      <c r="K13" s="2"/>
      <c r="L13" s="7">
        <f t="shared" si="1"/>
        <v>0.95652173913043481</v>
      </c>
    </row>
    <row r="14" spans="1:12" ht="30" x14ac:dyDescent="0.25">
      <c r="A14" s="4"/>
      <c r="B14" s="2" t="s">
        <v>16</v>
      </c>
      <c r="C14" s="2" t="s">
        <v>23</v>
      </c>
      <c r="D14" s="2">
        <v>1.5</v>
      </c>
      <c r="E14" s="2">
        <v>22</v>
      </c>
      <c r="F14" s="2">
        <v>20</v>
      </c>
      <c r="G14" s="2">
        <f t="shared" si="0"/>
        <v>2</v>
      </c>
      <c r="H14" s="2">
        <v>2</v>
      </c>
      <c r="I14" s="2">
        <v>2</v>
      </c>
      <c r="J14" s="2"/>
      <c r="K14" s="2"/>
      <c r="L14" s="7">
        <f t="shared" si="1"/>
        <v>0.90909090909090906</v>
      </c>
    </row>
    <row r="15" spans="1:12" ht="30" x14ac:dyDescent="0.25">
      <c r="A15" s="4"/>
      <c r="B15" s="2" t="s">
        <v>17</v>
      </c>
      <c r="C15" s="2" t="s">
        <v>23</v>
      </c>
      <c r="D15" s="2">
        <v>1.5</v>
      </c>
      <c r="E15" s="2">
        <v>21</v>
      </c>
      <c r="F15" s="2">
        <v>19</v>
      </c>
      <c r="G15" s="2">
        <f t="shared" si="0"/>
        <v>2</v>
      </c>
      <c r="H15" s="2">
        <v>2</v>
      </c>
      <c r="I15" s="2">
        <v>2</v>
      </c>
      <c r="J15" s="2"/>
      <c r="K15" s="2"/>
      <c r="L15" s="7">
        <f t="shared" si="1"/>
        <v>0.90476190476190477</v>
      </c>
    </row>
    <row r="16" spans="1:12" ht="30" x14ac:dyDescent="0.25">
      <c r="A16" s="4"/>
      <c r="B16" s="2" t="s">
        <v>18</v>
      </c>
      <c r="C16" s="2" t="s">
        <v>23</v>
      </c>
      <c r="D16" s="2">
        <v>1</v>
      </c>
      <c r="E16" s="2">
        <v>21</v>
      </c>
      <c r="F16" s="2">
        <v>18</v>
      </c>
      <c r="G16" s="2">
        <f t="shared" si="0"/>
        <v>3</v>
      </c>
      <c r="H16" s="2">
        <v>3</v>
      </c>
      <c r="I16" s="2">
        <v>3</v>
      </c>
      <c r="J16" s="2"/>
      <c r="K16" s="2"/>
      <c r="L16" s="7">
        <f t="shared" si="1"/>
        <v>0.8571428571428571</v>
      </c>
    </row>
    <row r="17" spans="1:12" ht="45" x14ac:dyDescent="0.25">
      <c r="A17" s="4"/>
      <c r="B17" s="2" t="s">
        <v>19</v>
      </c>
      <c r="C17" s="2" t="s">
        <v>23</v>
      </c>
      <c r="D17" s="2">
        <v>1.5</v>
      </c>
      <c r="E17" s="2">
        <v>10</v>
      </c>
      <c r="F17" s="2">
        <v>9</v>
      </c>
      <c r="G17" s="2">
        <f t="shared" si="0"/>
        <v>1</v>
      </c>
      <c r="H17" s="2">
        <v>1</v>
      </c>
      <c r="I17" s="2">
        <v>1</v>
      </c>
      <c r="J17" s="2"/>
      <c r="K17" s="2"/>
      <c r="L17" s="7">
        <f t="shared" si="1"/>
        <v>0.9</v>
      </c>
    </row>
    <row r="18" spans="1:12" ht="45" x14ac:dyDescent="0.25">
      <c r="A18" s="4"/>
      <c r="B18" s="2" t="s">
        <v>20</v>
      </c>
      <c r="C18" s="2" t="s">
        <v>23</v>
      </c>
      <c r="D18" s="2">
        <v>0.5</v>
      </c>
      <c r="E18" s="2">
        <v>11</v>
      </c>
      <c r="F18" s="2">
        <v>9</v>
      </c>
      <c r="G18" s="2">
        <f t="shared" si="0"/>
        <v>2</v>
      </c>
      <c r="H18" s="2">
        <v>1</v>
      </c>
      <c r="I18" s="2">
        <v>1</v>
      </c>
      <c r="J18" s="2"/>
      <c r="K18" s="2"/>
      <c r="L18" s="7">
        <f t="shared" si="1"/>
        <v>0.81818181818181823</v>
      </c>
    </row>
    <row r="19" spans="1:12" ht="30" x14ac:dyDescent="0.25">
      <c r="A19" s="4"/>
      <c r="B19" s="2" t="s">
        <v>21</v>
      </c>
      <c r="C19" s="2" t="s">
        <v>23</v>
      </c>
      <c r="D19" s="2">
        <v>1.5</v>
      </c>
      <c r="E19" s="2">
        <v>12</v>
      </c>
      <c r="F19" s="2">
        <v>8</v>
      </c>
      <c r="G19" s="2">
        <f t="shared" si="0"/>
        <v>4</v>
      </c>
      <c r="H19" s="2">
        <v>2</v>
      </c>
      <c r="I19" s="2">
        <v>1</v>
      </c>
      <c r="J19" s="2"/>
      <c r="K19" s="2">
        <v>1</v>
      </c>
      <c r="L19" s="7">
        <f t="shared" si="1"/>
        <v>0.66666666666666663</v>
      </c>
    </row>
    <row r="20" spans="1:12" x14ac:dyDescent="0.25">
      <c r="A20" s="5"/>
      <c r="B20" s="2" t="s">
        <v>6</v>
      </c>
      <c r="C20" s="2" t="s">
        <v>24</v>
      </c>
      <c r="D20" s="2">
        <v>3</v>
      </c>
      <c r="E20" s="2">
        <v>6</v>
      </c>
      <c r="F20" s="2">
        <v>6</v>
      </c>
      <c r="G20" s="2">
        <f t="shared" si="0"/>
        <v>0</v>
      </c>
      <c r="H20" s="2">
        <v>0</v>
      </c>
      <c r="I20" s="2">
        <v>0</v>
      </c>
      <c r="J20" s="2">
        <v>0</v>
      </c>
      <c r="K20" s="2">
        <v>0</v>
      </c>
      <c r="L20" s="7">
        <f t="shared" si="1"/>
        <v>1</v>
      </c>
    </row>
    <row r="21" spans="1:12" ht="15.75" x14ac:dyDescent="0.25">
      <c r="A21" s="18" t="s">
        <v>32</v>
      </c>
      <c r="B21" s="18"/>
      <c r="C21" s="18"/>
      <c r="D21" s="16">
        <f>SUM(D3:D20)</f>
        <v>30.200000000000003</v>
      </c>
      <c r="E21" s="16">
        <f t="shared" ref="E21:H21" si="2">SUM(E3:E20)</f>
        <v>333</v>
      </c>
      <c r="F21" s="16">
        <f t="shared" si="2"/>
        <v>272</v>
      </c>
      <c r="G21" s="16">
        <f t="shared" si="2"/>
        <v>61</v>
      </c>
      <c r="H21" s="16">
        <f t="shared" si="2"/>
        <v>45</v>
      </c>
      <c r="I21" s="16">
        <f t="shared" ref="I21" si="3">SUM(I3:I20)</f>
        <v>21</v>
      </c>
      <c r="J21" s="16">
        <f t="shared" ref="J21" si="4">SUM(J3:J20)</f>
        <v>21</v>
      </c>
      <c r="K21" s="16">
        <f t="shared" ref="K21" si="5">SUM(K3:K20)</f>
        <v>3</v>
      </c>
      <c r="L21" s="19">
        <f>SUM(L3:L20)/COUNT(L3:L20)</f>
        <v>0.8188470401420882</v>
      </c>
    </row>
  </sheetData>
  <mergeCells count="12">
    <mergeCell ref="H1:H2"/>
    <mergeCell ref="L1:L2"/>
    <mergeCell ref="A1:A2"/>
    <mergeCell ref="A3:A20"/>
    <mergeCell ref="A21:C21"/>
    <mergeCell ref="I1:K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3</vt:i4>
      </vt:variant>
    </vt:vector>
  </HeadingPairs>
  <TitlesOfParts>
    <vt:vector size="5" baseType="lpstr">
      <vt:lpstr>Звіт</vt:lpstr>
      <vt:lpstr>Таблиця</vt:lpstr>
      <vt:lpstr>Перевірки</vt:lpstr>
      <vt:lpstr>Кількість багів за складовою</vt:lpstr>
      <vt:lpstr>Кількість багів по пріоритетам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2023-08-02T12:45:56Z</dcterms:modified>
</cp:coreProperties>
</file>